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Assignments(Aishwarya Kamble)\Completed Assignments\"/>
    </mc:Choice>
  </mc:AlternateContent>
  <xr:revisionPtr revIDLastSave="0" documentId="8_{1C236B1B-2830-4A75-AFFE-7A11A129A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0" i="1" a="1"/>
  <c r="J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<sst xmlns="http://schemas.openxmlformats.org/spreadsheetml/2006/main" count="248" uniqueCount="107">
  <si>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</si>
  <si>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</si>
  <si>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</si>
  <si>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</si>
  <si>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</si>
  <si>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</si>
  <si>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</si>
  <si>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</si>
  <si>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</si>
  <si>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</si>
  <si>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</si>
  <si>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</si>
  <si>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</si>
  <si>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</si>
  <si>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</si>
  <si>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</si>
  <si>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</si>
  <si>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</si>
  <si>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</si>
  <si>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</si>
  <si>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</si>
  <si>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</si>
  <si>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</si>
  <si>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</si>
  <si>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</si>
  <si>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</si>
  <si>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</si>
  <si>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</si>
  <si>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</si>
  <si>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</si>
  <si>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</si>
  <si>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</si>
  <si>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</si>
  <si>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</si>
  <si>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</si>
  <si>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</si>
  <si>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</si>
  <si>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</si>
  <si>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</si>
  <si>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</si>
  <si>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</si>
  <si>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</si>
  <si>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</si>
  <si>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</si>
  <si>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</si>
  <si>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</si>
  <si>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</si>
  <si>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</si>
  <si>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</si>
  <si>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</si>
  <si>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</si>
  <si>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</si>
  <si>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</si>
  <si>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</si>
  <si>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</si>
  <si>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</si>
  <si>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</si>
  <si>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</si>
  <si>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</si>
  <si>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</si>
  <si>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</si>
  <si>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</si>
  <si>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</si>
  <si>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</si>
  <si>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</si>
  <si>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</si>
  <si>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</si>
  <si>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</si>
  <si>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</si>
  <si>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</si>
  <si>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</si>
  <si>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</si>
  <si>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</si>
  <si>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</si>
  <si>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</si>
  <si>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</si>
  <si>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</si>
  <si>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</si>
  <si>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</si>
  <si>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</si>
  <si>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</si>
  <si>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</si>
  <si>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</si>
  <si>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</si>
  <si>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</si>
  <si>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</si>
  <si>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</si>
  <si>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</si>
  <si>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</si>
  <si>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</si>
  <si>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</si>
  <si>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</si>
  <si>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</si>
  <si>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</si>
  <si>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</si>
  <si>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</si>
  <si>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</si>
  <si>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</si>
  <si>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</si>
  <si>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</si>
  <si>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</si>
  <si>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</si>
  <si>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Female Eligible for Gift</t>
  </si>
  <si>
    <t>Retired</t>
  </si>
  <si>
    <t>Amazon Voucher</t>
  </si>
  <si>
    <t>Bonus-9000</t>
  </si>
  <si>
    <t>Bonus-2500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</si>
</sst>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3" zoomScale="77" workbookViewId="0">
      <selection activeCell="M11" sqref="M11"/>
    </sheetView>
  </sheetViews>
  <sheetFormatPr defaultColWidth="14.44140625" defaultRowHeight="15" customHeight="1" x14ac:dyDescent="0.3"/>
  <cols>
    <col min="1" max="1" width="7.44140625" bestFit="1" customWidth="1"/>
    <col min="2" max="3" width="13.21875" bestFit="1" customWidth="1"/>
    <col min="4" max="4" width="11.21875" bestFit="1" customWidth="1"/>
    <col min="5" max="5" width="7.109375" bestFit="1" customWidth="1"/>
    <col min="6" max="6" width="9" bestFit="1" customWidth="1"/>
    <col min="7" max="7" width="21.33203125" bestFit="1" customWidth="1"/>
    <col min="8" max="8" width="10.77734375" bestFit="1" customWidth="1"/>
    <col min="9" max="9" width="8.77734375" bestFit="1" customWidth="1"/>
    <col min="10" max="10" width="19.88671875" bestFit="1" customWidth="1"/>
    <col min="11" max="11" width="10.88671875" bestFit="1" customWidth="1"/>
    <col min="12" max="12" width="7" bestFit="1" customWidth="1"/>
    <col min="13" max="13" width="10.88671875" bestFit="1" customWidth="1"/>
    <col min="14" max="14" width="15.554687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 t="s">
        <v>102</v>
      </c>
      <c r="K9" s="4" t="s">
        <v>105</v>
      </c>
      <c r="L9" s="4" t="s">
        <v>103</v>
      </c>
      <c r="M9" s="4" t="s">
        <v>106</v>
      </c>
      <c r="N9" s="4" t="s">
        <v>104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 cm="1">
        <f t="array" ref="J10:J47">IF(H10:H47&lt;50000,IF(E10:E47="Female","Eligible for Gift","-"),"-")</f>
        <v>-</v>
      </c>
      <c r="K10" s="11">
        <f>IF(AND(H10&lt;30000,G10="CCD"),9000,0)</f>
        <v>0</v>
      </c>
      <c r="L10" s="11" t="str">
        <f>IF(YEAR(D10)&lt;1980,"Retired","-")</f>
        <v>Retired</v>
      </c>
      <c r="M10" s="11">
        <f>IF(AND(OR(G10="Sales",G10="Marketing"),H10&lt;45000),25000,0)</f>
        <v>0</v>
      </c>
      <c r="N10" s="11">
        <f>IF(OR(G10="CEO",G10="Director"),0,1500)</f>
        <v>1500</v>
      </c>
      <c r="P10" s="5"/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v>-</v>
      </c>
      <c r="K11" s="11">
        <f t="shared" ref="K11:K47" si="0">IF(AND(H11&lt;30000,G11="CCD"),9000,0)</f>
        <v>0</v>
      </c>
      <c r="L11" s="11" t="str">
        <f t="shared" ref="L11:L47" si="1">IF(YEAR(D11)&lt;1980,"Retired","-")</f>
        <v>Retired</v>
      </c>
      <c r="M11" s="11">
        <f t="shared" ref="M11:M47" si="2">IF(AND(OR(G11="Sales",G11="Marketing"),H11&lt;45000),25000,0)</f>
        <v>25000</v>
      </c>
      <c r="N11" s="11">
        <f t="shared" ref="N11:N47" si="3">IF(OR(G11="CEO",G11="Director"),0,1500)</f>
        <v>1500</v>
      </c>
      <c r="P11" s="5"/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v>Eligible for Gift</v>
      </c>
      <c r="K12" s="11">
        <f t="shared" si="0"/>
        <v>0</v>
      </c>
      <c r="L12" s="11" t="str">
        <f t="shared" si="1"/>
        <v>Retired</v>
      </c>
      <c r="M12" s="11">
        <f t="shared" si="2"/>
        <v>0</v>
      </c>
      <c r="N12" s="11">
        <f t="shared" si="3"/>
        <v>1500</v>
      </c>
      <c r="P12" s="5"/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v>-</v>
      </c>
      <c r="K13" s="11">
        <f t="shared" si="0"/>
        <v>0</v>
      </c>
      <c r="L13" s="11" t="str">
        <f t="shared" si="1"/>
        <v>Retired</v>
      </c>
      <c r="M13" s="11">
        <f t="shared" si="2"/>
        <v>0</v>
      </c>
      <c r="N13" s="11">
        <f t="shared" si="3"/>
        <v>1500</v>
      </c>
      <c r="P13" s="5"/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v>-</v>
      </c>
      <c r="K14" s="11">
        <f t="shared" si="0"/>
        <v>0</v>
      </c>
      <c r="L14" s="11" t="str">
        <f t="shared" si="1"/>
        <v>Retired</v>
      </c>
      <c r="M14" s="11">
        <f t="shared" si="2"/>
        <v>0</v>
      </c>
      <c r="N14" s="11">
        <f t="shared" si="3"/>
        <v>1500</v>
      </c>
      <c r="P14" s="5"/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v>-</v>
      </c>
      <c r="K15" s="11">
        <f t="shared" si="0"/>
        <v>0</v>
      </c>
      <c r="L15" s="11" t="str">
        <f t="shared" si="1"/>
        <v>Retired</v>
      </c>
      <c r="M15" s="11">
        <f t="shared" si="2"/>
        <v>0</v>
      </c>
      <c r="N15" s="11">
        <f t="shared" si="3"/>
        <v>0</v>
      </c>
      <c r="P15" s="5"/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v>-</v>
      </c>
      <c r="K16" s="11">
        <f t="shared" si="0"/>
        <v>0</v>
      </c>
      <c r="L16" s="11" t="str">
        <f t="shared" si="1"/>
        <v>Retired</v>
      </c>
      <c r="M16" s="11">
        <f t="shared" si="2"/>
        <v>0</v>
      </c>
      <c r="N16" s="11">
        <f t="shared" si="3"/>
        <v>1500</v>
      </c>
      <c r="P16" s="5"/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v>-</v>
      </c>
      <c r="K17" s="11">
        <f t="shared" si="0"/>
        <v>9000</v>
      </c>
      <c r="L17" s="11" t="str">
        <f t="shared" si="1"/>
        <v>-</v>
      </c>
      <c r="M17" s="11">
        <f t="shared" si="2"/>
        <v>0</v>
      </c>
      <c r="N17" s="11">
        <f t="shared" si="3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v>-</v>
      </c>
      <c r="K18" s="11">
        <f t="shared" si="0"/>
        <v>0</v>
      </c>
      <c r="L18" s="11" t="str">
        <f t="shared" si="1"/>
        <v>Retired</v>
      </c>
      <c r="M18" s="11">
        <f t="shared" si="2"/>
        <v>0</v>
      </c>
      <c r="N18" s="11">
        <f t="shared" si="3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v>Eligible for Gift</v>
      </c>
      <c r="K19" s="11">
        <f t="shared" si="0"/>
        <v>0</v>
      </c>
      <c r="L19" s="11" t="str">
        <f t="shared" si="1"/>
        <v>-</v>
      </c>
      <c r="M19" s="11">
        <f t="shared" si="2"/>
        <v>0</v>
      </c>
      <c r="N19" s="11">
        <f t="shared" si="3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v>Eligible for Gift</v>
      </c>
      <c r="K20" s="11">
        <f t="shared" si="0"/>
        <v>0</v>
      </c>
      <c r="L20" s="11" t="str">
        <f t="shared" si="1"/>
        <v>Retired</v>
      </c>
      <c r="M20" s="11">
        <f t="shared" si="2"/>
        <v>0</v>
      </c>
      <c r="N20" s="11">
        <f t="shared" si="3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v>-</v>
      </c>
      <c r="K21" s="11">
        <f t="shared" si="0"/>
        <v>0</v>
      </c>
      <c r="L21" s="11" t="str">
        <f t="shared" si="1"/>
        <v>-</v>
      </c>
      <c r="M21" s="11">
        <f t="shared" si="2"/>
        <v>0</v>
      </c>
      <c r="N21" s="11">
        <f t="shared" si="3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v>-</v>
      </c>
      <c r="K22" s="11">
        <f t="shared" si="0"/>
        <v>0</v>
      </c>
      <c r="L22" s="11" t="str">
        <f t="shared" si="1"/>
        <v>-</v>
      </c>
      <c r="M22" s="11">
        <f t="shared" si="2"/>
        <v>0</v>
      </c>
      <c r="N22" s="11">
        <f t="shared" si="3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v>-</v>
      </c>
      <c r="K23" s="11">
        <f t="shared" si="0"/>
        <v>0</v>
      </c>
      <c r="L23" s="11" t="str">
        <f t="shared" si="1"/>
        <v>-</v>
      </c>
      <c r="M23" s="11">
        <f t="shared" si="2"/>
        <v>0</v>
      </c>
      <c r="N23" s="11">
        <f t="shared" si="3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v>-</v>
      </c>
      <c r="K24" s="11">
        <f t="shared" si="0"/>
        <v>0</v>
      </c>
      <c r="L24" s="11" t="str">
        <f t="shared" si="1"/>
        <v>-</v>
      </c>
      <c r="M24" s="11">
        <f t="shared" si="2"/>
        <v>0</v>
      </c>
      <c r="N24" s="11">
        <f t="shared" si="3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v>Eligible for Gift</v>
      </c>
      <c r="K25" s="11">
        <f t="shared" si="0"/>
        <v>0</v>
      </c>
      <c r="L25" s="11" t="str">
        <f t="shared" si="1"/>
        <v>Retired</v>
      </c>
      <c r="M25" s="11">
        <f t="shared" si="2"/>
        <v>0</v>
      </c>
      <c r="N25" s="11">
        <f t="shared" si="3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v>Eligible for Gift</v>
      </c>
      <c r="K26" s="11">
        <f t="shared" si="0"/>
        <v>0</v>
      </c>
      <c r="L26" s="11" t="str">
        <f t="shared" si="1"/>
        <v>-</v>
      </c>
      <c r="M26" s="11">
        <f t="shared" si="2"/>
        <v>25000</v>
      </c>
      <c r="N26" s="11">
        <f t="shared" si="3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v>-</v>
      </c>
      <c r="K27" s="11">
        <f t="shared" si="0"/>
        <v>0</v>
      </c>
      <c r="L27" s="11" t="str">
        <f t="shared" si="1"/>
        <v>-</v>
      </c>
      <c r="M27" s="11">
        <f t="shared" si="2"/>
        <v>0</v>
      </c>
      <c r="N27" s="11">
        <f t="shared" si="3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v>-</v>
      </c>
      <c r="K28" s="11">
        <f t="shared" si="0"/>
        <v>0</v>
      </c>
      <c r="L28" s="11" t="str">
        <f t="shared" si="1"/>
        <v>-</v>
      </c>
      <c r="M28" s="11">
        <f t="shared" si="2"/>
        <v>0</v>
      </c>
      <c r="N28" s="11">
        <f t="shared" si="3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v>-</v>
      </c>
      <c r="K29" s="11">
        <f t="shared" si="0"/>
        <v>0</v>
      </c>
      <c r="L29" s="11" t="str">
        <f t="shared" si="1"/>
        <v>-</v>
      </c>
      <c r="M29" s="11">
        <f t="shared" si="2"/>
        <v>0</v>
      </c>
      <c r="N29" s="11">
        <f t="shared" si="3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v>-</v>
      </c>
      <c r="K30" s="11">
        <f t="shared" si="0"/>
        <v>0</v>
      </c>
      <c r="L30" s="11" t="str">
        <f t="shared" si="1"/>
        <v>-</v>
      </c>
      <c r="M30" s="11">
        <f t="shared" si="2"/>
        <v>0</v>
      </c>
      <c r="N30" s="11">
        <f t="shared" si="3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v>-</v>
      </c>
      <c r="K31" s="11">
        <f t="shared" si="0"/>
        <v>0</v>
      </c>
      <c r="L31" s="11" t="str">
        <f t="shared" si="1"/>
        <v>-</v>
      </c>
      <c r="M31" s="11">
        <f t="shared" si="2"/>
        <v>0</v>
      </c>
      <c r="N31" s="11">
        <f t="shared" si="3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v>-</v>
      </c>
      <c r="K32" s="11">
        <f t="shared" si="0"/>
        <v>0</v>
      </c>
      <c r="L32" s="11" t="str">
        <f t="shared" si="1"/>
        <v>-</v>
      </c>
      <c r="M32" s="11">
        <f t="shared" si="2"/>
        <v>0</v>
      </c>
      <c r="N32" s="11">
        <f t="shared" si="3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v>-</v>
      </c>
      <c r="K33" s="11">
        <f t="shared" si="0"/>
        <v>0</v>
      </c>
      <c r="L33" s="11" t="str">
        <f t="shared" si="1"/>
        <v>-</v>
      </c>
      <c r="M33" s="11">
        <f t="shared" si="2"/>
        <v>0</v>
      </c>
      <c r="N33" s="11">
        <f t="shared" si="3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v>-</v>
      </c>
      <c r="K34" s="11">
        <f t="shared" si="0"/>
        <v>0</v>
      </c>
      <c r="L34" s="11" t="str">
        <f t="shared" si="1"/>
        <v>-</v>
      </c>
      <c r="M34" s="11">
        <f t="shared" si="2"/>
        <v>0</v>
      </c>
      <c r="N34" s="11">
        <f t="shared" si="3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v>-</v>
      </c>
      <c r="K35" s="11">
        <f t="shared" si="0"/>
        <v>0</v>
      </c>
      <c r="L35" s="11" t="str">
        <f t="shared" si="1"/>
        <v>Retired</v>
      </c>
      <c r="M35" s="11">
        <f t="shared" si="2"/>
        <v>0</v>
      </c>
      <c r="N35" s="11">
        <f t="shared" si="3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v>-</v>
      </c>
      <c r="K36" s="11">
        <f t="shared" si="0"/>
        <v>0</v>
      </c>
      <c r="L36" s="11" t="str">
        <f t="shared" si="1"/>
        <v>-</v>
      </c>
      <c r="M36" s="11">
        <f t="shared" si="2"/>
        <v>0</v>
      </c>
      <c r="N36" s="11">
        <f t="shared" si="3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v>-</v>
      </c>
      <c r="K37" s="11">
        <f t="shared" si="0"/>
        <v>0</v>
      </c>
      <c r="L37" s="11" t="str">
        <f t="shared" si="1"/>
        <v>Retired</v>
      </c>
      <c r="M37" s="11">
        <f t="shared" si="2"/>
        <v>0</v>
      </c>
      <c r="N37" s="11">
        <f t="shared" si="3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v>-</v>
      </c>
      <c r="K38" s="11">
        <f t="shared" si="0"/>
        <v>0</v>
      </c>
      <c r="L38" s="11" t="str">
        <f t="shared" si="1"/>
        <v>Retired</v>
      </c>
      <c r="M38" s="11">
        <f t="shared" si="2"/>
        <v>0</v>
      </c>
      <c r="N38" s="11">
        <f t="shared" si="3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v>-</v>
      </c>
      <c r="K39" s="11">
        <f t="shared" si="0"/>
        <v>0</v>
      </c>
      <c r="L39" s="11" t="str">
        <f t="shared" si="1"/>
        <v>-</v>
      </c>
      <c r="M39" s="11">
        <f t="shared" si="2"/>
        <v>0</v>
      </c>
      <c r="N39" s="11">
        <f t="shared" si="3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v>-</v>
      </c>
      <c r="K40" s="11">
        <f t="shared" si="0"/>
        <v>0</v>
      </c>
      <c r="L40" s="11" t="str">
        <f t="shared" si="1"/>
        <v>-</v>
      </c>
      <c r="M40" s="11">
        <f t="shared" si="2"/>
        <v>0</v>
      </c>
      <c r="N40" s="11">
        <f t="shared" si="3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v>-</v>
      </c>
      <c r="K41" s="11">
        <f t="shared" si="0"/>
        <v>0</v>
      </c>
      <c r="L41" s="11" t="str">
        <f t="shared" si="1"/>
        <v>-</v>
      </c>
      <c r="M41" s="11">
        <f t="shared" si="2"/>
        <v>0</v>
      </c>
      <c r="N41" s="11">
        <f t="shared" si="3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v>-</v>
      </c>
      <c r="K42" s="11">
        <f t="shared" si="0"/>
        <v>0</v>
      </c>
      <c r="L42" s="11" t="str">
        <f t="shared" si="1"/>
        <v>-</v>
      </c>
      <c r="M42" s="11">
        <f t="shared" si="2"/>
        <v>0</v>
      </c>
      <c r="N42" s="11">
        <f t="shared" si="3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v>-</v>
      </c>
      <c r="K43" s="11">
        <f t="shared" si="0"/>
        <v>0</v>
      </c>
      <c r="L43" s="11" t="str">
        <f t="shared" si="1"/>
        <v>-</v>
      </c>
      <c r="M43" s="11">
        <f t="shared" si="2"/>
        <v>0</v>
      </c>
      <c r="N43" s="11">
        <f t="shared" si="3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v>-</v>
      </c>
      <c r="K44" s="11">
        <f t="shared" si="0"/>
        <v>0</v>
      </c>
      <c r="L44" s="11" t="str">
        <f t="shared" si="1"/>
        <v>-</v>
      </c>
      <c r="M44" s="11">
        <f t="shared" si="2"/>
        <v>0</v>
      </c>
      <c r="N44" s="11">
        <f t="shared" si="3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v>-</v>
      </c>
      <c r="K45" s="11">
        <f t="shared" si="0"/>
        <v>0</v>
      </c>
      <c r="L45" s="11" t="str">
        <f t="shared" si="1"/>
        <v>-</v>
      </c>
      <c r="M45" s="11">
        <f t="shared" si="2"/>
        <v>0</v>
      </c>
      <c r="N45" s="11">
        <f t="shared" si="3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v>-</v>
      </c>
      <c r="K46" s="11">
        <f t="shared" si="0"/>
        <v>0</v>
      </c>
      <c r="L46" s="11" t="str">
        <f t="shared" si="1"/>
        <v>-</v>
      </c>
      <c r="M46" s="11">
        <f t="shared" si="2"/>
        <v>0</v>
      </c>
      <c r="N46" s="11">
        <f t="shared" si="3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v>-</v>
      </c>
      <c r="K47" s="11">
        <f t="shared" si="0"/>
        <v>0</v>
      </c>
      <c r="L47" s="11" t="str">
        <f t="shared" si="1"/>
        <v>-</v>
      </c>
      <c r="M47" s="11">
        <f t="shared" si="2"/>
        <v>0</v>
      </c>
      <c r="N47" s="11">
        <f t="shared" si="3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aishwarya kamble</cp:lastModifiedBy>
  <dcterms:created xsi:type="dcterms:W3CDTF">2020-05-11T11:02:27Z</dcterms:created>
  <dcterms:modified xsi:type="dcterms:W3CDTF">2025-08-01T18:59:33Z</dcterms:modified>
</cp:coreProperties>
</file>